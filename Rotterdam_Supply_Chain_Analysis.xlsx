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qui\Desktop\Excel\Full Project 1\"/>
    </mc:Choice>
  </mc:AlternateContent>
  <xr:revisionPtr revIDLastSave="0" documentId="13_ncr:1_{851DA9DD-D4BE-436B-A988-DA3F1E12D926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vw_rotterdam_disruption" sheetId="4" r:id="rId1"/>
    <sheet name="vw_mitigation_effectiveness" sheetId="3" r:id="rId2"/>
    <sheet name="vw_product_leadtime" sheetId="5" r:id="rId3"/>
    <sheet name="Summary" sheetId="6" r:id="rId4"/>
  </sheets>
  <definedNames>
    <definedName name="ExternalData_1" localSheetId="1" hidden="1">vw_mitigation_effectiveness!$A$1:$E$4</definedName>
    <definedName name="ExternalData_1" localSheetId="2" hidden="1">vw_product_leadtime!$A$1:$E$8</definedName>
    <definedName name="ExternalData_1" localSheetId="0" hidden="1">vw_rotterdam_disruption!$A$1:$F$3</definedName>
  </definedNames>
  <calcPr calcId="191029"/>
</workbook>
</file>

<file path=xl/calcChain.xml><?xml version="1.0" encoding="utf-8"?>
<calcChain xmlns="http://schemas.openxmlformats.org/spreadsheetml/2006/main">
  <c r="F2" i="5" l="1"/>
  <c r="F3" i="5"/>
  <c r="F4" i="5"/>
  <c r="F5" i="5"/>
  <c r="F6" i="5"/>
  <c r="F7" i="5"/>
  <c r="F8" i="5"/>
  <c r="F2" i="3"/>
  <c r="F3" i="3"/>
  <c r="F4" i="3"/>
  <c r="G3" i="4"/>
  <c r="G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1 - vw_rotterdam_disruption" description="Connection to the '1 - vw_rotterdam_disruption' query in the workbook." type="5" refreshedVersion="6" background="1" saveData="1">
    <dbPr connection="Provider=Microsoft.Mashup.OleDb.1;Data Source=$Workbook$;Location=1 - vw_rotterdam_disruption;Extended Properties=&quot;&quot;" command="SELECT * FROM [1 - vw_rotterdam_disruption]"/>
  </connection>
  <connection id="2" xr16:uid="{00000000-0015-0000-FFFF-FFFF01000000}" keepAlive="1" name="Query - 2 - vw_mitigation_effectiveness" description="Connection to the '2 - vw_mitigation_effectiveness' query in the workbook." type="5" refreshedVersion="6" background="1" saveData="1">
    <dbPr connection="Provider=Microsoft.Mashup.OleDb.1;Data Source=$Workbook$;Location=2 - vw_mitigation_effectiveness;Extended Properties=&quot;&quot;" command="SELECT * FROM [2 - vw_mitigation_effectiveness]"/>
  </connection>
  <connection id="3" xr16:uid="{00000000-0015-0000-FFFF-FFFF02000000}" keepAlive="1" name="Query - 3 - vw_product_leadtime" description="Connection to the '3 - vw_product_leadtime' query in the workbook." type="5" refreshedVersion="6" background="1" saveData="1">
    <dbPr connection="Provider=Microsoft.Mashup.OleDb.1;Data Source=$Workbook$;Location=3 - vw_product_leadtime;Extended Properties=&quot;&quot;" command="SELECT * FROM [3 - vw_product_leadtime]"/>
  </connection>
</connections>
</file>

<file path=xl/sharedStrings.xml><?xml version="1.0" encoding="utf-8"?>
<sst xmlns="http://schemas.openxmlformats.org/spreadsheetml/2006/main" count="50" uniqueCount="46">
  <si>
    <t>Disruption_Event</t>
  </si>
  <si>
    <t>Total_Shipments</t>
  </si>
  <si>
    <t>Avg_Delay_Days</t>
  </si>
  <si>
    <t>Avg_Cost_USD</t>
  </si>
  <si>
    <t>Late_Shipments</t>
  </si>
  <si>
    <t>Late_Percentage</t>
  </si>
  <si>
    <t>No Disruption</t>
  </si>
  <si>
    <t>Geopolitical Conflict (Route Diversion)</t>
  </si>
  <si>
    <t>Mitigation_Action_Taken</t>
  </si>
  <si>
    <t>OnTime_Percentage</t>
  </si>
  <si>
    <t>Standard Shipping</t>
  </si>
  <si>
    <t>Re-routing</t>
  </si>
  <si>
    <t>Expedited Air Freight</t>
  </si>
  <si>
    <t>Product_Category</t>
  </si>
  <si>
    <t>Avg_Base</t>
  </si>
  <si>
    <t>Avg_Actual</t>
  </si>
  <si>
    <t>Variance_Days</t>
  </si>
  <si>
    <t>Semiconductors</t>
  </si>
  <si>
    <t>Textiles</t>
  </si>
  <si>
    <t>Perishable Foods</t>
  </si>
  <si>
    <t>Raw Materials</t>
  </si>
  <si>
    <t>Auto Parts</t>
  </si>
  <si>
    <t>Pharmaceuticals</t>
  </si>
  <si>
    <t>Consumer Electronics</t>
  </si>
  <si>
    <t>Cost_Increase (%)</t>
  </si>
  <si>
    <t>Cost_vs_Rerouting_USD</t>
  </si>
  <si>
    <t>Reliability_Score</t>
  </si>
  <si>
    <t>METRIC</t>
  </si>
  <si>
    <t>VALUE</t>
  </si>
  <si>
    <t>Total Rotterdam Shipments</t>
  </si>
  <si>
    <t>Shipments With No Disruption</t>
  </si>
  <si>
    <t>Shipments Affected by Disruption</t>
  </si>
  <si>
    <t>On Time Rate — Normal Conditions</t>
  </si>
  <si>
    <t>On Time Rate — During Disruption</t>
  </si>
  <si>
    <t>Avg Cost — Normal Conditions</t>
  </si>
  <si>
    <t>Avg Cost — During Disruption</t>
  </si>
  <si>
    <t>Cost Increase During Disruption</t>
  </si>
  <si>
    <t>Cheapest Mitigation Action</t>
  </si>
  <si>
    <t>Re-routing $6,266</t>
  </si>
  <si>
    <t>Most Expensive Mitigation</t>
  </si>
  <si>
    <t>Expedited Air $68,664</t>
  </si>
  <si>
    <t>Highest Risk Product</t>
  </si>
  <si>
    <t>Semiconductors 2.5 days</t>
  </si>
  <si>
    <t>Most Reliable Product</t>
  </si>
  <si>
    <t>Consumer Electronics 1.4 days</t>
  </si>
  <si>
    <t>Rotterdam Inbound Freight — Supply Chain Disruption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</si>
</sst>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Font="1" applyBorder="1"/>
    <xf numFmtId="6" fontId="0" fillId="0" borderId="11" xfId="0" applyNumberFormat="1" applyFont="1" applyBorder="1"/>
    <xf numFmtId="6" fontId="0" fillId="0" borderId="0" xfId="0" applyNumberFormat="1"/>
    <xf numFmtId="0" fontId="4" fillId="33" borderId="2" xfId="3" applyFill="1" applyAlignment="1">
      <alignment horizontal="center"/>
    </xf>
    <xf numFmtId="0" fontId="4" fillId="34" borderId="2" xfId="3" applyFill="1"/>
    <xf numFmtId="3" fontId="4" fillId="34" borderId="2" xfId="3" applyNumberFormat="1" applyFill="1"/>
    <xf numFmtId="0" fontId="4" fillId="0" borderId="2" xfId="3"/>
    <xf numFmtId="3" fontId="4" fillId="0" borderId="2" xfId="3" applyNumberFormat="1"/>
    <xf numFmtId="10" fontId="4" fillId="0" borderId="2" xfId="3" applyNumberFormat="1"/>
    <xf numFmtId="9" fontId="4" fillId="34" borderId="2" xfId="3" applyNumberFormat="1" applyFill="1"/>
    <xf numFmtId="6" fontId="4" fillId="0" borderId="2" xfId="3" applyNumberFormat="1"/>
    <xf numFmtId="9" fontId="4" fillId="0" borderId="2" xfId="3" applyNumberFormat="1"/>
    <xf numFmtId="0" fontId="18" fillId="35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Shipping Cost Impact </a:t>
            </a:r>
          </a:p>
          <a:p>
            <a:pPr>
              <a:defRPr/>
            </a:pPr>
            <a:r>
              <a:rPr lang="en-CA"/>
              <a:t>Geopolitical Disruption vs Normal Operations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vw_rotterdam_disruption!$D$1</c:f>
              <c:strCache>
                <c:ptCount val="1"/>
                <c:pt idx="0">
                  <c:v>Avg_Cost_USD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CB5-4765-B37F-29446E9212D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CB5-4765-B37F-29446E9212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vw_rotterdam_disruption!$A$2:$A$3</c:f>
              <c:strCache>
                <c:ptCount val="2"/>
                <c:pt idx="0">
                  <c:v>No Disruption</c:v>
                </c:pt>
                <c:pt idx="1">
                  <c:v>Geopolitical Conflict (Route Diversion)</c:v>
                </c:pt>
              </c:strCache>
            </c:strRef>
          </c:cat>
          <c:val>
            <c:numRef>
              <c:f>vw_rotterdam_disruption!$D$2:$D$3</c:f>
              <c:numCache>
                <c:formatCode>General</c:formatCode>
                <c:ptCount val="2"/>
                <c:pt idx="0">
                  <c:v>11095.49</c:v>
                </c:pt>
                <c:pt idx="1">
                  <c:v>24649.17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5-4765-B37F-29446E9212D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976802848"/>
        <c:axId val="1774917280"/>
      </c:barChart>
      <c:catAx>
        <c:axId val="197680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917280"/>
        <c:crosses val="autoZero"/>
        <c:auto val="1"/>
        <c:lblAlgn val="ctr"/>
        <c:lblOffset val="100"/>
        <c:noMultiLvlLbl val="0"/>
      </c:catAx>
      <c:valAx>
        <c:axId val="177491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80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Average Shipping Cost by Mitigation Action </a:t>
            </a:r>
          </a:p>
          <a:p>
            <a:pPr>
              <a:defRPr/>
            </a:pPr>
            <a:r>
              <a:rPr lang="en-CA" sz="1400" b="0" i="0" u="none" strike="noStrike" baseline="0"/>
              <a:t> (Rotterdam Inbound)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vw_mitigation_effectiveness!$C$1</c:f>
              <c:strCache>
                <c:ptCount val="1"/>
                <c:pt idx="0">
                  <c:v>Avg_Cost_USD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7EE-43AD-B63E-59E956E907B1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7EE-43AD-B63E-59E956E907B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vw_mitigation_effectiveness!$A$2:$A$4</c:f>
              <c:strCache>
                <c:ptCount val="3"/>
                <c:pt idx="0">
                  <c:v>Standard Shipping</c:v>
                </c:pt>
                <c:pt idx="1">
                  <c:v>Re-routing</c:v>
                </c:pt>
                <c:pt idx="2">
                  <c:v>Expedited Air Freight</c:v>
                </c:pt>
              </c:strCache>
            </c:strRef>
          </c:cat>
          <c:val>
            <c:numRef>
              <c:f>vw_mitigation_effectiveness!$C$2:$C$4</c:f>
              <c:numCache>
                <c:formatCode>General</c:formatCode>
                <c:ptCount val="3"/>
                <c:pt idx="0">
                  <c:v>11095.49</c:v>
                </c:pt>
                <c:pt idx="1">
                  <c:v>6266.43</c:v>
                </c:pt>
                <c:pt idx="2">
                  <c:v>68664.179999999993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EE-43AD-B63E-59E956E907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72230912"/>
        <c:axId val="1715217136"/>
      </c:barChart>
      <c:catAx>
        <c:axId val="1972230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5217136"/>
        <c:crosses val="autoZero"/>
        <c:auto val="1"/>
        <c:lblAlgn val="ctr"/>
        <c:lblOffset val="100"/>
        <c:noMultiLvlLbl val="0"/>
      </c:catAx>
      <c:valAx>
        <c:axId val="17152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230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On-Time Delivery Rate by Mitigation Action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vw_mitigation_effectiveness!$E$1</c:f>
              <c:strCache>
                <c:ptCount val="1"/>
                <c:pt idx="0">
                  <c:v>OnTime_Percentage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vw_mitigation_effectiveness!$A$2:$A$4</c:f>
              <c:strCache>
                <c:ptCount val="3"/>
                <c:pt idx="0">
                  <c:v>Standard Shipping</c:v>
                </c:pt>
                <c:pt idx="1">
                  <c:v>Re-routing</c:v>
                </c:pt>
                <c:pt idx="2">
                  <c:v>Expedited Air Freight</c:v>
                </c:pt>
              </c:strCache>
            </c:strRef>
          </c:cat>
          <c:val>
            <c:numRef>
              <c:f>vw_mitigation_effectiveness!$E$2:$E$4</c:f>
              <c:numCache>
                <c:formatCode>General</c:formatCode>
                <c:ptCount val="3"/>
                <c:pt idx="0">
                  <c:v>98.9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0D-497B-AA47-0F4624C490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19087712"/>
        <c:axId val="1780604768"/>
      </c:barChart>
      <c:catAx>
        <c:axId val="519087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604768"/>
        <c:crosses val="autoZero"/>
        <c:auto val="1"/>
        <c:lblAlgn val="ctr"/>
        <c:lblOffset val="100"/>
        <c:noMultiLvlLbl val="0"/>
      </c:catAx>
      <c:valAx>
        <c:axId val="1780604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08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Lead Time Variance by Product CategorY </a:t>
            </a:r>
          </a:p>
          <a:p>
            <a:pPr>
              <a:defRPr/>
            </a:pPr>
            <a:r>
              <a:rPr lang="en-CA" sz="1400" b="0" i="0" u="none" strike="noStrike" baseline="0"/>
              <a:t>(Rotterdam Inbound)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vw_product_leadtime!$D$1</c:f>
              <c:strCache>
                <c:ptCount val="1"/>
                <c:pt idx="0">
                  <c:v>Variance_Days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E13-40A7-896E-A675C865CA04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3E13-40A7-896E-A675C865CA04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E13-40A7-896E-A675C865CA04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E13-40A7-896E-A675C865CA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vw_product_leadtime!$A$2:$A$8</c:f>
              <c:strCache>
                <c:ptCount val="7"/>
                <c:pt idx="0">
                  <c:v>Semiconductors</c:v>
                </c:pt>
                <c:pt idx="1">
                  <c:v>Textiles</c:v>
                </c:pt>
                <c:pt idx="2">
                  <c:v>Perishable Foods</c:v>
                </c:pt>
                <c:pt idx="3">
                  <c:v>Raw Materials</c:v>
                </c:pt>
                <c:pt idx="4">
                  <c:v>Auto Parts</c:v>
                </c:pt>
                <c:pt idx="5">
                  <c:v>Pharmaceuticals</c:v>
                </c:pt>
                <c:pt idx="6">
                  <c:v>Consumer Electronics</c:v>
                </c:pt>
              </c:strCache>
            </c:strRef>
          </c:cat>
          <c:val>
            <c:numRef>
              <c:f>vw_product_leadtime!$D$2:$D$8</c:f>
              <c:numCache>
                <c:formatCode>General</c:formatCode>
                <c:ptCount val="7"/>
                <c:pt idx="0">
                  <c:v>2.5</c:v>
                </c:pt>
                <c:pt idx="1">
                  <c:v>2.5</c:v>
                </c:pt>
                <c:pt idx="2">
                  <c:v>2.2999999999999998</c:v>
                </c:pt>
                <c:pt idx="3">
                  <c:v>2.2999999999999998</c:v>
                </c:pt>
                <c:pt idx="4">
                  <c:v>2.1</c:v>
                </c:pt>
                <c:pt idx="5">
                  <c:v>1.6</c:v>
                </c:pt>
                <c:pt idx="6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13-40A7-896E-A675C865CA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79193200"/>
        <c:axId val="1972926016"/>
      </c:barChart>
      <c:catAx>
        <c:axId val="177919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26016"/>
        <c:crosses val="autoZero"/>
        <c:auto val="1"/>
        <c:lblAlgn val="ctr"/>
        <c:lblOffset val="100"/>
        <c:noMultiLvlLbl val="0"/>
      </c:catAx>
      <c:valAx>
        <c:axId val="197292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919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4</xdr:row>
      <xdr:rowOff>160020</xdr:rowOff>
    </xdr:from>
    <xdr:to>
      <xdr:col>6</xdr:col>
      <xdr:colOff>563880</xdr:colOff>
      <xdr:row>24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D33349-38DD-4068-80FE-B4D0A382E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6</xdr:row>
      <xdr:rowOff>76200</xdr:rowOff>
    </xdr:from>
    <xdr:to>
      <xdr:col>3</xdr:col>
      <xdr:colOff>937260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3B4471-B12A-4B6D-8A09-FB8FA0A9C0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1104900</xdr:colOff>
      <xdr:row>6</xdr:row>
      <xdr:rowOff>30480</xdr:rowOff>
    </xdr:from>
    <xdr:to>
      <xdr:col>8</xdr:col>
      <xdr:colOff>243840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78E66E4-D927-41A5-BD78-A464BBD14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236220</xdr:colOff>
      <xdr:row>23</xdr:row>
      <xdr:rowOff>0</xdr:rowOff>
    </xdr:from>
    <xdr:ext cx="10384509" cy="150592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648404B-40C4-444F-8712-55B63F77BD41}"/>
            </a:ext>
          </a:extLst>
        </xdr:cNvPr>
        <xdr:cNvSpPr txBox="1"/>
      </xdr:nvSpPr>
      <xdr:spPr>
        <a:xfrm>
          <a:off x="236220" y="4206240"/>
          <a:ext cx="10384509" cy="15059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CA" b="1"/>
            <a:t>Why Two Charts?</a:t>
          </a:r>
        </a:p>
        <a:p>
          <a:r>
            <a:rPr lang="en-CA"/>
            <a:t>Because the story has two parts:</a:t>
          </a:r>
        </a:p>
        <a:p>
          <a:r>
            <a:rPr lang="en-CA" b="1"/>
            <a:t>Chart 1 says:</a:t>
          </a:r>
          <a:r>
            <a:rPr lang="en-CA"/>
            <a:t> Expedited Air is outrageously expensive </a:t>
          </a:r>
          <a:r>
            <a:rPr lang="en-CA" b="1"/>
            <a:t>Chart 2 says:</a:t>
          </a:r>
          <a:r>
            <a:rPr lang="en-CA"/>
            <a:t> Yet it delivers 0% on time — same as Re-routing</a:t>
          </a:r>
        </a:p>
        <a:p>
          <a:r>
            <a:rPr lang="en-CA"/>
            <a:t>Together they scream:</a:t>
          </a:r>
        </a:p>
        <a:p>
          <a:r>
            <a:rPr lang="en-CA" i="1"/>
            <a:t>"Expedited Air Freight costs 10x more than Re-routing but achieves identical delivery performance — Re-routing is the only rational mitigation strategy for Rotterdam disruptions."</a:t>
          </a:r>
          <a:endParaRPr lang="en-CA"/>
        </a:p>
        <a:p>
          <a:r>
            <a:rPr lang="en-CA" b="1"/>
            <a:t>That is a boardroom-level insight.</a:t>
          </a:r>
          <a:r>
            <a:rPr lang="en-CA"/>
            <a:t> 🎯</a:t>
          </a:r>
        </a:p>
        <a:p>
          <a:r>
            <a:rPr lang="en-CA"/>
            <a:t>Build both charts and share screenshot — then we do the final sheet. 🚀</a:t>
          </a:r>
        </a:p>
        <a:p>
          <a:endParaRPr lang="en-CA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518160</xdr:colOff>
      <xdr:row>8</xdr:row>
      <xdr:rowOff>167640</xdr:rowOff>
    </xdr:from>
    <xdr:to>
      <xdr:col>8</xdr:col>
      <xdr:colOff>487680</xdr:colOff>
      <xdr:row>26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B61D63-9FD5-4B10-8805-BC095E0FAA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000-000000000000}" autoFormatId="16" applyNumberFormats="0" applyBorderFormats="0" applyFontFormats="0" applyPatternFormats="0" applyAlignmentFormats="0" applyWidthHeightFormats="0">
  <queryTableRefresh nextId="8" unboundColumnsRight="1">
    <queryTableFields count="7">
      <queryTableField id="1" name="Disruption_Event" tableColumnId="1"/>
      <queryTableField id="2" name="Total_Shipments" tableColumnId="2"/>
      <queryTableField id="3" name="Avg_Delay_Days" tableColumnId="3"/>
      <queryTableField id="4" name="Avg_Cost_USD" tableColumnId="4"/>
      <queryTableField id="5" name="Late_Shipments" tableColumnId="5"/>
      <queryTableField id="6" name="Late_Percentage" tableColumnId="6"/>
      <queryTableField id="7" dataBound="0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1000000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Mitigation_Action_Taken" tableColumnId="1"/>
      <queryTableField id="2" name="Total_Shipments" tableColumnId="2"/>
      <queryTableField id="3" name="Avg_Cost_USD" tableColumnId="3"/>
      <queryTableField id="4" name="Avg_Delay_Days" tableColumnId="4"/>
      <queryTableField id="5" name="OnTime_Percentage" tableColumnId="5"/>
      <queryTableField id="6" dataBound="0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000000-0016-0000-0200-000002000000}" autoFormatId="16" applyNumberFormats="0" applyBorderFormats="0" applyFontFormats="0" applyPatternFormats="0" applyAlignmentFormats="0" applyWidthHeightFormats="0">
  <queryTableRefresh nextId="7" unboundColumnsRight="1">
    <queryTableFields count="6">
      <queryTableField id="1" name="Product_Category" tableColumnId="1"/>
      <queryTableField id="2" name="Avg_Base" tableColumnId="2"/>
      <queryTableField id="3" name="Avg_Actual" tableColumnId="3"/>
      <queryTableField id="4" name="Variance_Days" tableColumnId="4"/>
      <queryTableField id="5" name="Avg_Cost_USD" tableColumnId="5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_1___vw_rotterdam_disruption" displayName="_1___vw_rotterdam_disruption" ref="A1:G3" tableType="queryTable" totalsRowShown="0">
  <autoFilter ref="A1:G3" xr:uid="{00000000-0009-0000-0100-000002000000}"/>
  <tableColumns count="7">
    <tableColumn id="1" xr3:uid="{00000000-0010-0000-0000-000001000000}" uniqueName="1" name="Disruption_Event" queryTableFieldId="1"/>
    <tableColumn id="2" xr3:uid="{00000000-0010-0000-0000-000002000000}" uniqueName="2" name="Total_Shipments" queryTableFieldId="2"/>
    <tableColumn id="3" xr3:uid="{00000000-0010-0000-0000-000003000000}" uniqueName="3" name="Avg_Delay_Days" queryTableFieldId="3"/>
    <tableColumn id="4" xr3:uid="{00000000-0010-0000-0000-000004000000}" uniqueName="4" name="Avg_Cost_USD" queryTableFieldId="4"/>
    <tableColumn id="5" xr3:uid="{00000000-0010-0000-0000-000005000000}" uniqueName="5" name="Late_Shipments" queryTableFieldId="5"/>
    <tableColumn id="6" xr3:uid="{00000000-0010-0000-0000-000006000000}" uniqueName="6" name="Late_Percentage" queryTableFieldId="6"/>
    <tableColumn id="7" xr3:uid="{5F63C595-DD60-4D23-A5BC-CD77DDA95F71}" uniqueName="7" name="Cost_Increase (%)" queryTableFieldId="7">
      <calculatedColumnFormula>ROUND((D2-$D$2)/$D$2*100,1)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_2___vw_mitigation_effectiveness" displayName="_2___vw_mitigation_effectiveness" ref="A1:F4" tableType="queryTable" totalsRowShown="0">
  <tableColumns count="6">
    <tableColumn id="1" xr3:uid="{00000000-0010-0000-0100-000001000000}" uniqueName="1" name="Mitigation_Action_Taken" queryTableFieldId="1"/>
    <tableColumn id="2" xr3:uid="{00000000-0010-0000-0100-000002000000}" uniqueName="2" name="Total_Shipments" queryTableFieldId="2"/>
    <tableColumn id="3" xr3:uid="{00000000-0010-0000-0100-000003000000}" uniqueName="3" name="Avg_Cost_USD" queryTableFieldId="3"/>
    <tableColumn id="4" xr3:uid="{00000000-0010-0000-0100-000004000000}" uniqueName="4" name="Avg_Delay_Days" queryTableFieldId="4"/>
    <tableColumn id="5" xr3:uid="{00000000-0010-0000-0100-000005000000}" uniqueName="5" name="OnTime_Percentage" queryTableFieldId="5"/>
    <tableColumn id="6" xr3:uid="{E1DDD8E9-AA3E-4C64-BE2F-B1C15284B6F7}" uniqueName="6" name="Cost_vs_Rerouting_USD" queryTableFieldId="6" dataDxfId="1">
      <calculatedColumnFormula>ROUND(C2-$C$3,0)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_3___vw_product_leadtime" displayName="_3___vw_product_leadtime" ref="A1:F8" tableType="queryTable" totalsRowShown="0">
  <tableColumns count="6">
    <tableColumn id="1" xr3:uid="{00000000-0010-0000-0200-000001000000}" uniqueName="1" name="Product_Category" queryTableFieldId="1"/>
    <tableColumn id="2" xr3:uid="{00000000-0010-0000-0200-000002000000}" uniqueName="2" name="Avg_Base" queryTableFieldId="2"/>
    <tableColumn id="3" xr3:uid="{00000000-0010-0000-0200-000003000000}" uniqueName="3" name="Avg_Actual" queryTableFieldId="3"/>
    <tableColumn id="4" xr3:uid="{00000000-0010-0000-0200-000004000000}" uniqueName="4" name="Variance_Days" queryTableFieldId="4"/>
    <tableColumn id="5" xr3:uid="{00000000-0010-0000-0200-000005000000}" uniqueName="5" name="Avg_Cost_USD" queryTableFieldId="5"/>
    <tableColumn id="6" xr3:uid="{E260EE8E-57FA-45C2-B6D5-A3114C44B3B7}" uniqueName="6" name="Reliability_Score" queryTableFieldId="6" dataDxfId="0">
      <calculatedColumnFormula>IF(D2&lt;=1.5,"High",IF(D2&lt;=2.2,"Medium","Low"))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="91" workbookViewId="0">
      <selection activeCell="L15" sqref="L15"/>
    </sheetView>
  </sheetViews>
  <sheetFormatPr defaultRowHeight="14.4" x14ac:dyDescent="0.3"/>
  <cols>
    <col min="1" max="1" width="32.5546875" bestFit="1" customWidth="1"/>
    <col min="2" max="2" width="17.44140625" bestFit="1" customWidth="1"/>
    <col min="3" max="3" width="17.21875" bestFit="1" customWidth="1"/>
    <col min="4" max="4" width="15.77734375" bestFit="1" customWidth="1"/>
    <col min="5" max="5" width="16.77734375" bestFit="1" customWidth="1"/>
    <col min="6" max="6" width="17.33203125" bestFit="1" customWidth="1"/>
    <col min="7" max="7" width="18.664062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</v>
      </c>
    </row>
    <row r="2" spans="1:7" x14ac:dyDescent="0.3">
      <c r="A2" t="s">
        <v>6</v>
      </c>
      <c r="B2">
        <v>1461</v>
      </c>
      <c r="C2">
        <v>0.01</v>
      </c>
      <c r="D2">
        <v>11095.49</v>
      </c>
      <c r="E2">
        <v>16</v>
      </c>
      <c r="F2">
        <v>1.1000000000000001</v>
      </c>
      <c r="G2">
        <f>ROUND((D2-$D$2)/$D$2*100,1)</f>
        <v>0</v>
      </c>
    </row>
    <row r="3" spans="1:7" x14ac:dyDescent="0.3">
      <c r="A3" t="s">
        <v>7</v>
      </c>
      <c r="B3">
        <v>241</v>
      </c>
      <c r="C3">
        <v>12.77</v>
      </c>
      <c r="D3">
        <v>24649.17</v>
      </c>
      <c r="E3">
        <v>241</v>
      </c>
      <c r="F3">
        <v>100</v>
      </c>
      <c r="G3">
        <f>ROUND((D3-$D$2)/$D$2*100,1)</f>
        <v>122.2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A33" sqref="A33"/>
    </sheetView>
  </sheetViews>
  <sheetFormatPr defaultRowHeight="14.4" x14ac:dyDescent="0.3"/>
  <cols>
    <col min="1" max="1" width="24.77734375" bestFit="1" customWidth="1"/>
    <col min="2" max="2" width="17.44140625" bestFit="1" customWidth="1"/>
    <col min="3" max="3" width="15.77734375" bestFit="1" customWidth="1"/>
    <col min="4" max="4" width="17.21875" bestFit="1" customWidth="1"/>
    <col min="5" max="5" width="20.44140625" bestFit="1" customWidth="1"/>
    <col min="6" max="6" width="23.77734375" bestFit="1" customWidth="1"/>
  </cols>
  <sheetData>
    <row r="1" spans="1:6" x14ac:dyDescent="0.3">
      <c r="A1" t="s">
        <v>8</v>
      </c>
      <c r="B1" t="s">
        <v>1</v>
      </c>
      <c r="C1" t="s">
        <v>3</v>
      </c>
      <c r="D1" t="s">
        <v>2</v>
      </c>
      <c r="E1" t="s">
        <v>9</v>
      </c>
      <c r="F1" t="s">
        <v>25</v>
      </c>
    </row>
    <row r="2" spans="1:6" x14ac:dyDescent="0.3">
      <c r="A2" t="s">
        <v>10</v>
      </c>
      <c r="B2">
        <v>1461</v>
      </c>
      <c r="C2">
        <v>11095.49</v>
      </c>
      <c r="D2">
        <v>0.01</v>
      </c>
      <c r="E2">
        <v>98.9</v>
      </c>
      <c r="F2">
        <f t="shared" ref="F2:F4" si="0">ROUND(C2-$C$3,0)</f>
        <v>4829</v>
      </c>
    </row>
    <row r="3" spans="1:6" x14ac:dyDescent="0.3">
      <c r="A3" t="s">
        <v>11</v>
      </c>
      <c r="B3">
        <v>170</v>
      </c>
      <c r="C3">
        <v>6266.43</v>
      </c>
      <c r="D3">
        <v>12.72</v>
      </c>
      <c r="E3">
        <v>0</v>
      </c>
      <c r="F3">
        <f t="shared" si="0"/>
        <v>0</v>
      </c>
    </row>
    <row r="4" spans="1:6" x14ac:dyDescent="0.3">
      <c r="A4" t="s">
        <v>12</v>
      </c>
      <c r="B4">
        <v>71</v>
      </c>
      <c r="C4">
        <v>68664.179999999993</v>
      </c>
      <c r="D4">
        <v>12.9</v>
      </c>
      <c r="E4">
        <v>0</v>
      </c>
      <c r="F4">
        <f t="shared" si="0"/>
        <v>62398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sqref="A1:B8"/>
    </sheetView>
  </sheetViews>
  <sheetFormatPr defaultRowHeight="14.4" x14ac:dyDescent="0.3"/>
  <cols>
    <col min="1" max="1" width="18.77734375" bestFit="1" customWidth="1"/>
    <col min="2" max="2" width="11.33203125" bestFit="1" customWidth="1"/>
    <col min="3" max="3" width="12.77734375" bestFit="1" customWidth="1"/>
    <col min="4" max="4" width="15.6640625" bestFit="1" customWidth="1"/>
    <col min="5" max="5" width="15.77734375" bestFit="1" customWidth="1"/>
    <col min="6" max="6" width="14.88671875" bestFit="1" customWidth="1"/>
  </cols>
  <sheetData>
    <row r="1" spans="1:6" x14ac:dyDescent="0.3">
      <c r="A1" t="s">
        <v>13</v>
      </c>
      <c r="B1" t="s">
        <v>14</v>
      </c>
      <c r="C1" t="s">
        <v>15</v>
      </c>
      <c r="D1" t="s">
        <v>16</v>
      </c>
      <c r="E1" t="s">
        <v>3</v>
      </c>
      <c r="F1" t="s">
        <v>26</v>
      </c>
    </row>
    <row r="2" spans="1:6" x14ac:dyDescent="0.3">
      <c r="A2" t="s">
        <v>17</v>
      </c>
      <c r="B2">
        <v>12.3</v>
      </c>
      <c r="C2">
        <v>14.8</v>
      </c>
      <c r="D2">
        <v>2.5</v>
      </c>
      <c r="E2">
        <v>32998.400000000001</v>
      </c>
      <c r="F2" t="str">
        <f>IF(D2&lt;=1.5,"High",IF(D2&lt;=2.2,"Medium","Low"))</f>
        <v>Low</v>
      </c>
    </row>
    <row r="3" spans="1:6" x14ac:dyDescent="0.3">
      <c r="A3" t="s">
        <v>18</v>
      </c>
      <c r="B3">
        <v>28</v>
      </c>
      <c r="C3">
        <v>30.5</v>
      </c>
      <c r="D3">
        <v>2.5</v>
      </c>
      <c r="E3">
        <v>4103.01</v>
      </c>
      <c r="F3" t="str">
        <f t="shared" ref="F2:F8" si="0">IF(D3&lt;=1.5,"High",IF(D3&lt;=2.2,"Medium","Low"))</f>
        <v>Low</v>
      </c>
    </row>
    <row r="4" spans="1:6" x14ac:dyDescent="0.3">
      <c r="A4" t="s">
        <v>19</v>
      </c>
      <c r="B4">
        <v>28</v>
      </c>
      <c r="C4">
        <v>30.3</v>
      </c>
      <c r="D4">
        <v>2.2999999999999998</v>
      </c>
      <c r="E4">
        <v>4433.21</v>
      </c>
      <c r="F4" t="str">
        <f t="shared" si="0"/>
        <v>Low</v>
      </c>
    </row>
    <row r="5" spans="1:6" x14ac:dyDescent="0.3">
      <c r="A5" t="s">
        <v>20</v>
      </c>
      <c r="B5">
        <v>28</v>
      </c>
      <c r="C5">
        <v>30.3</v>
      </c>
      <c r="D5">
        <v>2.2999999999999998</v>
      </c>
      <c r="E5">
        <v>4054.85</v>
      </c>
      <c r="F5" t="str">
        <f t="shared" si="0"/>
        <v>Low</v>
      </c>
    </row>
    <row r="6" spans="1:6" x14ac:dyDescent="0.3">
      <c r="A6" t="s">
        <v>21</v>
      </c>
      <c r="B6">
        <v>28</v>
      </c>
      <c r="C6">
        <v>30.1</v>
      </c>
      <c r="D6">
        <v>2.1</v>
      </c>
      <c r="E6">
        <v>4043.82</v>
      </c>
      <c r="F6" t="str">
        <f t="shared" si="0"/>
        <v>Medium</v>
      </c>
    </row>
    <row r="7" spans="1:6" x14ac:dyDescent="0.3">
      <c r="A7" t="s">
        <v>22</v>
      </c>
      <c r="B7">
        <v>11.7</v>
      </c>
      <c r="C7">
        <v>13.3</v>
      </c>
      <c r="D7">
        <v>1.6</v>
      </c>
      <c r="E7">
        <v>34232.67</v>
      </c>
      <c r="F7" t="str">
        <f t="shared" si="0"/>
        <v>Medium</v>
      </c>
    </row>
    <row r="8" spans="1:6" x14ac:dyDescent="0.3">
      <c r="A8" t="s">
        <v>23</v>
      </c>
      <c r="B8">
        <v>28</v>
      </c>
      <c r="C8">
        <v>29.4</v>
      </c>
      <c r="D8">
        <v>1.4</v>
      </c>
      <c r="E8">
        <v>3753.39</v>
      </c>
      <c r="F8" t="str">
        <f t="shared" si="0"/>
        <v>High</v>
      </c>
    </row>
  </sheetData>
  <conditionalFormatting sqref="F2:F8">
    <cfRule type="iconSet" priority="2">
      <iconSet>
        <cfvo type="percent" val="0"/>
        <cfvo type="percent" val="33"/>
        <cfvo type="percent" val="67"/>
      </iconSet>
    </cfRule>
  </conditionalFormatting>
  <conditionalFormatting sqref="D2:D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D22"/>
  <sheetViews>
    <sheetView topLeftCell="A2" zoomScale="107" workbookViewId="0">
      <selection activeCell="G16" sqref="G16"/>
    </sheetView>
  </sheetViews>
  <sheetFormatPr defaultRowHeight="14.4" x14ac:dyDescent="0.3"/>
  <cols>
    <col min="1" max="1" width="38" bestFit="1" customWidth="1"/>
    <col min="2" max="2" width="32.44140625" bestFit="1" customWidth="1"/>
    <col min="3" max="3" width="38" bestFit="1" customWidth="1"/>
    <col min="4" max="4" width="32.44140625" bestFit="1" customWidth="1"/>
  </cols>
  <sheetData>
    <row r="6" spans="1:4" x14ac:dyDescent="0.3">
      <c r="C6" s="13" t="s">
        <v>45</v>
      </c>
      <c r="D6" s="13"/>
    </row>
    <row r="7" spans="1:4" x14ac:dyDescent="0.3">
      <c r="C7" s="13"/>
      <c r="D7" s="13"/>
    </row>
    <row r="8" spans="1:4" x14ac:dyDescent="0.3">
      <c r="C8" s="13"/>
      <c r="D8" s="13"/>
    </row>
    <row r="9" spans="1:4" ht="18" thickBot="1" x14ac:dyDescent="0.4">
      <c r="C9" s="4" t="s">
        <v>27</v>
      </c>
      <c r="D9" s="4" t="s">
        <v>28</v>
      </c>
    </row>
    <row r="10" spans="1:4" ht="18.600000000000001" thickTop="1" thickBot="1" x14ac:dyDescent="0.4">
      <c r="C10" s="5" t="s">
        <v>29</v>
      </c>
      <c r="D10" s="6">
        <v>1702</v>
      </c>
    </row>
    <row r="11" spans="1:4" ht="18.600000000000001" thickTop="1" thickBot="1" x14ac:dyDescent="0.4">
      <c r="C11" s="7" t="s">
        <v>30</v>
      </c>
      <c r="D11" s="8">
        <v>1461</v>
      </c>
    </row>
    <row r="12" spans="1:4" ht="18.600000000000001" thickTop="1" thickBot="1" x14ac:dyDescent="0.4">
      <c r="C12" s="5" t="s">
        <v>31</v>
      </c>
      <c r="D12" s="5">
        <v>241</v>
      </c>
    </row>
    <row r="13" spans="1:4" ht="18.600000000000001" thickTop="1" thickBot="1" x14ac:dyDescent="0.4">
      <c r="C13" s="7" t="s">
        <v>32</v>
      </c>
      <c r="D13" s="9">
        <v>0.98899999999999999</v>
      </c>
    </row>
    <row r="14" spans="1:4" ht="18.600000000000001" thickTop="1" thickBot="1" x14ac:dyDescent="0.4">
      <c r="A14" s="1"/>
      <c r="B14" s="2"/>
      <c r="C14" s="5" t="s">
        <v>33</v>
      </c>
      <c r="D14" s="10">
        <v>0</v>
      </c>
    </row>
    <row r="15" spans="1:4" ht="18.600000000000001" thickTop="1" thickBot="1" x14ac:dyDescent="0.4">
      <c r="B15" s="3"/>
      <c r="C15" s="7" t="s">
        <v>34</v>
      </c>
      <c r="D15" s="11">
        <v>11095</v>
      </c>
    </row>
    <row r="16" spans="1:4" ht="18.600000000000001" thickTop="1" thickBot="1" x14ac:dyDescent="0.4">
      <c r="C16" s="7" t="s">
        <v>35</v>
      </c>
      <c r="D16" s="11">
        <v>24649</v>
      </c>
    </row>
    <row r="17" spans="3:4" ht="18.600000000000001" thickTop="1" thickBot="1" x14ac:dyDescent="0.4">
      <c r="C17" s="7" t="s">
        <v>36</v>
      </c>
      <c r="D17" s="12">
        <v>1.22</v>
      </c>
    </row>
    <row r="18" spans="3:4" ht="18.600000000000001" thickTop="1" thickBot="1" x14ac:dyDescent="0.4">
      <c r="C18" s="7" t="s">
        <v>37</v>
      </c>
      <c r="D18" s="7" t="s">
        <v>38</v>
      </c>
    </row>
    <row r="19" spans="3:4" ht="18.600000000000001" thickTop="1" thickBot="1" x14ac:dyDescent="0.4">
      <c r="C19" s="5" t="s">
        <v>39</v>
      </c>
      <c r="D19" s="5" t="s">
        <v>40</v>
      </c>
    </row>
    <row r="20" spans="3:4" ht="18.600000000000001" thickTop="1" thickBot="1" x14ac:dyDescent="0.4">
      <c r="C20" s="7" t="s">
        <v>41</v>
      </c>
      <c r="D20" s="7" t="s">
        <v>42</v>
      </c>
    </row>
    <row r="21" spans="3:4" ht="18.600000000000001" thickTop="1" thickBot="1" x14ac:dyDescent="0.4">
      <c r="C21" s="7" t="s">
        <v>43</v>
      </c>
      <c r="D21" s="7" t="s">
        <v>44</v>
      </c>
    </row>
    <row r="22" spans="3:4" ht="15" thickTop="1" x14ac:dyDescent="0.3"/>
  </sheetData>
  <mergeCells count="1">
    <mergeCell ref="C6:D8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560F27-837F-46F9-81AB-FFECFBE449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vw_rotterdam_disruption</vt:lpstr>
      <vt:lpstr>vw_mitigation_effectiveness</vt:lpstr>
      <vt:lpstr>vw_product_leadtime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Saquib Raza Khan</dc:creator>
  <cp:lastModifiedBy>Saquib Raza Khan</cp:lastModifiedBy>
  <dcterms:created xsi:type="dcterms:W3CDTF">2026-04-16T15:46:25Z</dcterms:created>
  <dcterms:modified xsi:type="dcterms:W3CDTF">2026-04-16T20:31:34Z</dcterms:modified>
</cp:coreProperties>
</file>